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Formula Reference" sheetId="2" state="visible" r:id="rId4"/>
    <sheet name="Wall Takeoff" sheetId="3" state="visible" r:id="rId5"/>
    <sheet name="Floor Takeoff" sheetId="4" state="visible" r:id="rId6"/>
    <sheet name="Roof Takeoff" sheetId="5" state="visible" r:id="rId7"/>
    <sheet name="Opening Takeoff" sheetId="6" state="visible" r:id="rId8"/>
    <sheet name="Sheathing &amp; Coverage" sheetId="7" state="visible" r:id="rId9"/>
    <sheet name="Stock Length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<sst xmlns="http://schemas.openxmlformats.org/spreadsheetml/2006/main" count="257" uniqueCount="212">
  <si>
    <t xml:space="preserve">House Lumber Takeoff Formulas</t>
  </si>
  <si>
    <t xml:space="preserve">Standard framing quantity takeoff, with live calculators. Mirrors the Lumber Estimator engine.</t>
  </si>
  <si>
    <t xml:space="preserve">What this workbook is</t>
  </si>
  <si>
    <t xml:space="preserve">A reference of the standard framing formulas used to take off lumber for a house, plus working calculators for walls, floors, roofs, openings, and sheathing. Type your dimensions into the yellow cells and the green result cells recompute. The material list this produces is meant to be handed to a lumber supplier for a quote, so quantities always round UP to whole pieces.</t>
  </si>
  <si>
    <t xml:space="preserve">Cell legend</t>
  </si>
  <si>
    <t xml:space="preserve">Enter here</t>
  </si>
  <si>
    <t xml:space="preserve">You type in these. They drive every result.</t>
  </si>
  <si>
    <t xml:space="preserve">Result</t>
  </si>
  <si>
    <t xml:space="preserve">Calculated for you. Do not type over these.</t>
  </si>
  <si>
    <t xml:space="preserve">Conventions used in every formula</t>
  </si>
  <si>
    <t xml:space="preserve">Convention</t>
  </si>
  <si>
    <t xml:space="preserve">What it means</t>
  </si>
  <si>
    <t xml:space="preserve">Round up to whole pieces</t>
  </si>
  <si>
    <t xml:space="preserve">Every count uses CEILING. You cannot buy 12.3 studs, so it becomes 13.</t>
  </si>
  <si>
    <t xml:space="preserve">Waste factor</t>
  </si>
  <si>
    <t xml:space="preserve">Applied after the raw count, then rounded up again: pieces = CEILING(raw x (1 + waste)). Studs default 10 percent, plates and joists 5 percent.</t>
  </si>
  <si>
    <t xml:space="preserve">Board feet</t>
  </si>
  <si>
    <t xml:space="preserve">BF = (nominal thickness in x nominal width in x length ft) / 12. Used for pricing by BF, not for piece counts.</t>
  </si>
  <si>
    <t xml:space="preserve">Stock length rounding</t>
  </si>
  <si>
    <t xml:space="preserve">A single-piece member (stud, joist, header) is cut from the smallest stock length that covers it. This sheet uses an 8 to 24 ft, 2 ft-increment set for SPF.</t>
  </si>
  <si>
    <t xml:space="preserve">On center (OC)</t>
  </si>
  <si>
    <t xml:space="preserve">Spacing between member centerlines. 16 in OC and 24 in OC are the common cases.</t>
  </si>
  <si>
    <t xml:space="preserve">Worksheets</t>
  </si>
  <si>
    <t xml:space="preserve">Sheet</t>
  </si>
  <si>
    <t xml:space="preserve">What it does</t>
  </si>
  <si>
    <t xml:space="preserve">Formula Reference</t>
  </si>
  <si>
    <t xml:space="preserve">Every takeoff formula in plain language and in math, with the standard rule it comes from.</t>
  </si>
  <si>
    <t xml:space="preserve">Wall Takeoff</t>
  </si>
  <si>
    <t xml:space="preserve">Studs, top and bottom plates from a wall length and height.</t>
  </si>
  <si>
    <t xml:space="preserve">Floor Takeoff</t>
  </si>
  <si>
    <t xml:space="preserve">Joists, rim board, and subfloor from a floor area.</t>
  </si>
  <si>
    <t xml:space="preserve">Roof Takeoff</t>
  </si>
  <si>
    <t xml:space="preserve">Rafters or trusses, roof sheathing, and felt from a roof plane or footprint.</t>
  </si>
  <si>
    <t xml:space="preserve">Opening Takeoff</t>
  </si>
  <si>
    <t xml:space="preserve">Header, king studs, trimmers, and cripples for a window or door.</t>
  </si>
  <si>
    <t xml:space="preserve">Sheathing &amp; Coverage</t>
  </si>
  <si>
    <t xml:space="preserve">Wall sheathing, house wrap, and any material sold by coverage area.</t>
  </si>
  <si>
    <t xml:space="preserve">Stock Lengths</t>
  </si>
  <si>
    <t xml:space="preserve">The stock length lookup table the calculators use to size single pieces.</t>
  </si>
  <si>
    <t xml:space="preserve">Standard rules of thumb are a starting point, not an engineered design. Verify spans, header sizes, and connections against local code and the project's structural drawings before ordering.</t>
  </si>
  <si>
    <t xml:space="preserve">Each takeoff item, the standard rule it comes from, and the exact math.</t>
  </si>
  <si>
    <t xml:space="preserve">Item</t>
  </si>
  <si>
    <t xml:space="preserve">Standard takeoff rule</t>
  </si>
  <si>
    <t xml:space="preserve">Formula</t>
  </si>
  <si>
    <t xml:space="preserve">Inputs / notes</t>
  </si>
  <si>
    <t xml:space="preserve">WALLS</t>
  </si>
  <si>
    <t xml:space="preserve">Studs</t>
  </si>
  <si>
    <t xml:space="preserve">One stud per spacing along the wall, plus an end / corner stud.</t>
  </si>
  <si>
    <t xml:space="preserve">Studs = CEILING(Length_ft x 12 / Spacing_in) + 1</t>
  </si>
  <si>
    <t xml:space="preserve">Add extra studs for each corner, partition intersection, and door/window opening.</t>
  </si>
  <si>
    <t xml:space="preserve">Top plate</t>
  </si>
  <si>
    <t xml:space="preserve">Double top plate: two continuous runs of plate stock over the wall length.</t>
  </si>
  <si>
    <t xml:space="preserve">Pieces = CEILING(Length_ft / Stock_len_ft) x 2</t>
  </si>
  <si>
    <t xml:space="preserve">Stock_len_ft is the plate stock you buy, commonly 16 ft.</t>
  </si>
  <si>
    <t xml:space="preserve">Bottom plate</t>
  </si>
  <si>
    <t xml:space="preserve">Single bottom plate running the wall length. Use pressure treated on concrete.</t>
  </si>
  <si>
    <t xml:space="preserve">Pieces = CEILING(Length_ft / Stock_len_ft) x 1</t>
  </si>
  <si>
    <t xml:space="preserve">PT for slab / foundation contact.</t>
  </si>
  <si>
    <t xml:space="preserve">FLOORS</t>
  </si>
  <si>
    <t xml:space="preserve">Floor joists</t>
  </si>
  <si>
    <t xml:space="preserve">One joist per spacing across the span, plus a joist at each end.</t>
  </si>
  <si>
    <t xml:space="preserve">Joists = CEILING(Span_ft x 12 / Spacing_in) + 1</t>
  </si>
  <si>
    <t xml:space="preserve">Span is measured perpendicular to the joists. Joist length = the run the joists cover.</t>
  </si>
  <si>
    <t xml:space="preserve">Rim / band joist</t>
  </si>
  <si>
    <t xml:space="preserve">Rim board runs the full perimeter of the floor.</t>
  </si>
  <si>
    <t xml:space="preserve">Pieces = CEILING(Perimeter_ft / Stock_len_ft)</t>
  </si>
  <si>
    <t xml:space="preserve">Same depth as the joists.</t>
  </si>
  <si>
    <t xml:space="preserve">Subfloor</t>
  </si>
  <si>
    <t xml:space="preserve">Sheet goods to cover the floor area.</t>
  </si>
  <si>
    <t xml:space="preserve">Sheets = CEILING(Area_sqft / 32)</t>
  </si>
  <si>
    <t xml:space="preserve">32 sqft per 4x8 sheet. Add 10 percent waste for cutting.</t>
  </si>
  <si>
    <t xml:space="preserve">ROOF</t>
  </si>
  <si>
    <t xml:space="preserve">Rafters</t>
  </si>
  <si>
    <t xml:space="preserve">One rafter per spacing along the ridge, each side, plus one.</t>
  </si>
  <si>
    <t xml:space="preserve">Rafters = CEILING(Run_ft x 12 / Spacing_in) + 1</t>
  </si>
  <si>
    <t xml:space="preserve">Multiply by 2 for both roof planes. Length from run and pitch.</t>
  </si>
  <si>
    <t xml:space="preserve">Trusses</t>
  </si>
  <si>
    <t xml:space="preserve">One truss per spacing across the building length, plus one.</t>
  </si>
  <si>
    <t xml:space="preserve">Trusses = CEILING(Length_ft x 12 / Spacing_in) + 1</t>
  </si>
  <si>
    <t xml:space="preserve">Usually 24 in OC. Ordered as a custom unit, not by stock length.</t>
  </si>
  <si>
    <t xml:space="preserve">Roof sheathing</t>
  </si>
  <si>
    <t xml:space="preserve">Sheet goods to cover the roof area (both planes).</t>
  </si>
  <si>
    <t xml:space="preserve">Sheets = CEILING(Roof_area_sqft / 32)</t>
  </si>
  <si>
    <t xml:space="preserve">32 sqft per 4x8 sheet. Add 10 to 15 percent for hips and valleys.</t>
  </si>
  <si>
    <t xml:space="preserve">Roofing felt</t>
  </si>
  <si>
    <t xml:space="preserve">Underlayment by coverage per roll.</t>
  </si>
  <si>
    <t xml:space="preserve">Rolls = CEILING(Roof_area_sqft / Coverage_per_roll)</t>
  </si>
  <si>
    <t xml:space="preserve">#30 felt covers about 200 sqft per roll after overlap.</t>
  </si>
  <si>
    <t xml:space="preserve">OPENINGS</t>
  </si>
  <si>
    <t xml:space="preserve">Header</t>
  </si>
  <si>
    <t xml:space="preserve">A built-up header spans the opening plus bearing at each end.</t>
  </si>
  <si>
    <t xml:space="preserve">Length = Opening_ft + 0.25 ; Plies = 2</t>
  </si>
  <si>
    <t xml:space="preserve">0.25 ft = 3 in total bearing. Size the header to the span and load per code.</t>
  </si>
  <si>
    <t xml:space="preserve">King studs</t>
  </si>
  <si>
    <t xml:space="preserve">Full-height studs on each side of the opening.</t>
  </si>
  <si>
    <t xml:space="preserve">King studs = 2</t>
  </si>
  <si>
    <t xml:space="preserve">Fixed per opening.</t>
  </si>
  <si>
    <t xml:space="preserve">Trimmer / jack studs</t>
  </si>
  <si>
    <t xml:space="preserve">Studs under each end of the header.</t>
  </si>
  <si>
    <t xml:space="preserve">Trimmers = 2</t>
  </si>
  <si>
    <t xml:space="preserve">Fixed per opening; add plies for wide spans.</t>
  </si>
  <si>
    <t xml:space="preserve">Cripple studs</t>
  </si>
  <si>
    <t xml:space="preserve">Short studs above the header and below the sill, at wall spacing.</t>
  </si>
  <si>
    <t xml:space="preserve">Cripples = CEILING(Opening_ft x 12 / Spacing_in)</t>
  </si>
  <si>
    <t xml:space="preserve">Applies above header and below a window sill.</t>
  </si>
  <si>
    <t xml:space="preserve">SHEATHING &amp; COVERAGE</t>
  </si>
  <si>
    <t xml:space="preserve">Wall sheathing</t>
  </si>
  <si>
    <t xml:space="preserve">Sheet goods to cover the wall elevation area.</t>
  </si>
  <si>
    <t xml:space="preserve">Sheets = CEILING(Wall_area_sqft / 32)</t>
  </si>
  <si>
    <t xml:space="preserve">32 sqft per 4x8 sheet.</t>
  </si>
  <si>
    <t xml:space="preserve">House wrap</t>
  </si>
  <si>
    <t xml:space="preserve">Weather barrier by coverage per roll.</t>
  </si>
  <si>
    <t xml:space="preserve">Rolls = CEILING(Wall_area_sqft / Coverage_per_roll)</t>
  </si>
  <si>
    <t xml:space="preserve">A 9 ft x 100 ft roll covers about 900 sqft.</t>
  </si>
  <si>
    <t xml:space="preserve">POSTS &amp; HARDWARE</t>
  </si>
  <si>
    <t xml:space="preserve">Posts</t>
  </si>
  <si>
    <t xml:space="preserve">One post per counted location.</t>
  </si>
  <si>
    <t xml:space="preserve">Posts = Count x 1</t>
  </si>
  <si>
    <t xml:space="preserve">Count them off the plan. PT for exterior / ground contact.</t>
  </si>
  <si>
    <t xml:space="preserve">Joist hangers</t>
  </si>
  <si>
    <t xml:space="preserve">One hanger per counted connection.</t>
  </si>
  <si>
    <t xml:space="preserve">Hangers = Count x 1</t>
  </si>
  <si>
    <t xml:space="preserve">Match the hanger to the joist size.</t>
  </si>
  <si>
    <t xml:space="preserve">Fasteners</t>
  </si>
  <si>
    <t xml:space="preserve">Nails / screws by the box.</t>
  </si>
  <si>
    <t xml:space="preserve">Boxes = CEILING(Total_fasteners / Per_box)</t>
  </si>
  <si>
    <t xml:space="preserve">Estimate fasteners per connection, then round to boxes.</t>
  </si>
  <si>
    <t xml:space="preserve">Studs, plates. Enter the yellow cells.</t>
  </si>
  <si>
    <t xml:space="preserve">Inputs</t>
  </si>
  <si>
    <t xml:space="preserve">Wall length (ft)</t>
  </si>
  <si>
    <t xml:space="preserve">Wall height (in)</t>
  </si>
  <si>
    <t xml:space="preserve">Stud spacing (in OC)</t>
  </si>
  <si>
    <t xml:space="preserve">Stud waste %</t>
  </si>
  <si>
    <t xml:space="preserve">Plate stock length (ft)</t>
  </si>
  <si>
    <t xml:space="preserve">Plate waste %</t>
  </si>
  <si>
    <t xml:space="preserve">Extra studs (corners, partitions, openings)</t>
  </si>
  <si>
    <t xml:space="preserve">Results</t>
  </si>
  <si>
    <t xml:space="preserve">Component</t>
  </si>
  <si>
    <t xml:space="preserve">Formula in words</t>
  </si>
  <si>
    <t xml:space="preserve">Quantity</t>
  </si>
  <si>
    <t xml:space="preserve">Piece length (ft)</t>
  </si>
  <si>
    <t xml:space="preserve">ceil(length x 12 / spacing) + extra, + waste</t>
  </si>
  <si>
    <t xml:space="preserve">Top plate (double)</t>
  </si>
  <si>
    <t xml:space="preserve">ceil(length / stock) x 2, + waste</t>
  </si>
  <si>
    <t xml:space="preserve">Bottom plate (single)</t>
  </si>
  <si>
    <t xml:space="preserve">ceil(length / stock) x 1, + waste</t>
  </si>
  <si>
    <t xml:space="preserve">Tip: for the whole house, run this once per wall type (exterior 2x6, interior 2x4) and add the results.</t>
  </si>
  <si>
    <t xml:space="preserve">Joists, rim board, subfloor from a rectangular floor.</t>
  </si>
  <si>
    <t xml:space="preserve">Spacing direction (ft)  [joists spaced along this]</t>
  </si>
  <si>
    <t xml:space="preserve">Joist span (ft)  [length of each joist]</t>
  </si>
  <si>
    <t xml:space="preserve">Joist spacing (in OC)</t>
  </si>
  <si>
    <t xml:space="preserve">Joist waste %</t>
  </si>
  <si>
    <t xml:space="preserve">Rim stock length (ft)</t>
  </si>
  <si>
    <t xml:space="preserve">Rim waste %</t>
  </si>
  <si>
    <t xml:space="preserve">Subfloor waste %</t>
  </si>
  <si>
    <t xml:space="preserve">Derived</t>
  </si>
  <si>
    <t xml:space="preserve">Floor area (sqft)</t>
  </si>
  <si>
    <t xml:space="preserve">Perimeter (ft)</t>
  </si>
  <si>
    <t xml:space="preserve">ceil(width x 12 / spacing) + 1, + waste</t>
  </si>
  <si>
    <t xml:space="preserve">ceil(perimeter / stock), + waste</t>
  </si>
  <si>
    <t xml:space="preserve">Subfloor (4x8 sheets)</t>
  </si>
  <si>
    <t xml:space="preserve">ceil(area / 32), + waste</t>
  </si>
  <si>
    <t xml:space="preserve">-</t>
  </si>
  <si>
    <t xml:space="preserve">Joists are spaced along the first dimension and each joist is as long as the second (the span). Rim board runs the full perimeter.</t>
  </si>
  <si>
    <t xml:space="preserve">Rafters or trusses, sheathing, felt.</t>
  </si>
  <si>
    <t xml:space="preserve">Building length (ft)  [along the ridge]</t>
  </si>
  <si>
    <t xml:space="preserve">Member spacing (in OC)</t>
  </si>
  <si>
    <t xml:space="preserve">Rafter / truss length each (ft)</t>
  </si>
  <si>
    <t xml:space="preserve">Roof planes (2 = both sides)</t>
  </si>
  <si>
    <t xml:space="preserve">Member waste %</t>
  </si>
  <si>
    <t xml:space="preserve">Total roof area, both planes (sqft)</t>
  </si>
  <si>
    <t xml:space="preserve">Sheathing waste %</t>
  </si>
  <si>
    <t xml:space="preserve">Felt coverage per roll (sqft)</t>
  </si>
  <si>
    <t xml:space="preserve">Felt waste %</t>
  </si>
  <si>
    <t xml:space="preserve">(ceil(length x 12 / spacing) + 1) x planes, + waste</t>
  </si>
  <si>
    <t xml:space="preserve">Trusses (alternative to rafters)</t>
  </si>
  <si>
    <t xml:space="preserve">ceil(length x 12 / spacing) + 1</t>
  </si>
  <si>
    <t xml:space="preserve">custom</t>
  </si>
  <si>
    <t xml:space="preserve">Roof sheathing (4x8 sheets)</t>
  </si>
  <si>
    <t xml:space="preserve">ceil(roof area / 32), + waste</t>
  </si>
  <si>
    <t xml:space="preserve">Roofing felt (rolls)</t>
  </si>
  <si>
    <t xml:space="preserve">ceil(roof area / coverage), + waste</t>
  </si>
  <si>
    <t xml:space="preserve">Use rafters or trusses, not both. Trusses are ordered as custom units, so no stock length applies.</t>
  </si>
  <si>
    <t xml:space="preserve">Header, king studs, trimmers, cripples for one window or door.</t>
  </si>
  <si>
    <t xml:space="preserve">Opening width (ft)</t>
  </si>
  <si>
    <t xml:space="preserve">Header plies</t>
  </si>
  <si>
    <t xml:space="preserve">Bearing allowance (ft)</t>
  </si>
  <si>
    <t xml:space="preserve">Wall stud spacing (in OC)</t>
  </si>
  <si>
    <t xml:space="preserve">Trimmer studs</t>
  </si>
  <si>
    <t xml:space="preserve">Cripple waste %</t>
  </si>
  <si>
    <t xml:space="preserve">plies pieces, length = opening + bearing</t>
  </si>
  <si>
    <t xml:space="preserve">fixed count</t>
  </si>
  <si>
    <t xml:space="preserve">wall height</t>
  </si>
  <si>
    <t xml:space="preserve">to header</t>
  </si>
  <si>
    <t xml:space="preserve">ceil(opening x 12 / spacing), + waste</t>
  </si>
  <si>
    <t xml:space="preserve">short</t>
  </si>
  <si>
    <t xml:space="preserve">Header length is the smallest stock that covers the opening plus 0.25 ft (3 in) of total bearing. Cripples apply above the header and, for a window, below the sill.</t>
  </si>
  <si>
    <t xml:space="preserve">Anything sold by area: sheets and rolls.</t>
  </si>
  <si>
    <t xml:space="preserve">Wall / surface area (sqft)</t>
  </si>
  <si>
    <t xml:space="preserve">Sheet coverage (sqft each)</t>
  </si>
  <si>
    <t xml:space="preserve">House wrap coverage per roll (sqft)</t>
  </si>
  <si>
    <t xml:space="preserve">House wrap waste %</t>
  </si>
  <si>
    <t xml:space="preserve">Unit</t>
  </si>
  <si>
    <t xml:space="preserve">ceil(area / sheet coverage), + waste</t>
  </si>
  <si>
    <t xml:space="preserve">sheets</t>
  </si>
  <si>
    <t xml:space="preserve">ceil(area / roll coverage), + waste</t>
  </si>
  <si>
    <t xml:space="preserve">rolls</t>
  </si>
  <si>
    <t xml:space="preserve">This is the general coverage formula: any material sold by area (sheets, rolls, boards per sqft) uses quantity = ceil(area / coverage per unit).</t>
  </si>
  <si>
    <t xml:space="preserve">The lookup the calculators use to size a single-piece member.</t>
  </si>
  <si>
    <t xml:space="preserve">SPF dimensional lumber, standard stock</t>
  </si>
  <si>
    <t xml:space="preserve">Available length (ft)</t>
  </si>
  <si>
    <t xml:space="preserve">Single pieces round up to the smallest length here that covers the requirement. Edit this list to match your supplier.</t>
  </si>
</sst>
</file>

<file path=xl/styles.xml><?xml version="1.0" encoding="utf-8"?>
<styleSheet xmlns="http://schemas.openxmlformats.org/spreadsheetml/2006/main">
  <numFmts count="5">
    <numFmt numFmtId="164" formatCode="General"/>
    <numFmt numFmtId="165" formatCode="0.0"/>
    <numFmt numFmtId="166" formatCode="0"/>
    <numFmt numFmtId="167" formatCode="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0"/>
      <color rgb="FFFFFFFF"/>
      <name val="Arial"/>
      <family val="0"/>
      <charset val="1"/>
    </font>
    <font>
      <b val="true"/>
      <sz val="12"/>
      <color rgb="FF1F3A5F"/>
      <name val="Arial"/>
      <family val="0"/>
      <charset val="1"/>
    </font>
    <font>
      <sz val="10"/>
      <color rgb="FF222222"/>
      <name val="Arial"/>
      <family val="0"/>
      <charset val="1"/>
    </font>
    <font>
      <b val="true"/>
      <sz val="11"/>
      <color rgb="FF0000CC"/>
      <name val="Arial"/>
      <family val="0"/>
      <charset val="1"/>
    </font>
    <font>
      <b val="true"/>
      <sz val="11"/>
      <color rgb="FF14532D"/>
      <name val="Arial"/>
      <family val="0"/>
      <charset val="1"/>
    </font>
    <font>
      <b val="true"/>
      <sz val="10"/>
      <color rgb="FFFFFFFF"/>
      <name val="Arial"/>
      <family val="0"/>
      <charset val="1"/>
    </font>
    <font>
      <b val="true"/>
      <sz val="10"/>
      <color rgb="FF222222"/>
      <name val="Arial"/>
      <family val="0"/>
      <charset val="1"/>
    </font>
    <font>
      <i val="true"/>
      <sz val="9"/>
      <color rgb="FF6B7280"/>
      <name val="Arial"/>
      <family val="0"/>
      <charset val="1"/>
    </font>
    <font>
      <sz val="10"/>
      <color rgb="FF1A3D6D"/>
      <name val="Arial"/>
      <family val="0"/>
      <charset val="1"/>
    </font>
  </fonts>
  <fills count="8">
    <fill>
      <patternFill patternType="none"/>
    </fill>
    <fill>
      <patternFill patternType="gray125"/>
    </fill>
    <fill>
      <patternFill patternType="solid">
        <fgColor rgb="FF1F3A5F"/>
        <bgColor rgb="FF1A3D6D"/>
      </patternFill>
    </fill>
    <fill>
      <patternFill patternType="solid">
        <fgColor rgb="FF2E5A88"/>
        <bgColor rgb="FF1A3D6D"/>
      </patternFill>
    </fill>
    <fill>
      <patternFill patternType="solid">
        <fgColor rgb="FFFFF6D6"/>
        <bgColor rgb="FFF2F6FB"/>
      </patternFill>
    </fill>
    <fill>
      <patternFill patternType="solid">
        <fgColor rgb="FFE7F0E3"/>
        <bgColor rgb="FFF2F6FB"/>
      </patternFill>
    </fill>
    <fill>
      <patternFill patternType="solid">
        <fgColor rgb="FFFFFFFF"/>
        <bgColor rgb="FFF2F6FB"/>
      </patternFill>
    </fill>
    <fill>
      <patternFill patternType="solid">
        <fgColor rgb="FFF2F6FB"/>
        <bgColor rgb="FFFFFFFF"/>
      </patternFill>
    </fill>
  </fills>
  <borders count="4">
    <border diagonalUp="false" diagonalDown="false">
      <left/>
      <right/>
      <top/>
      <bottom/>
      <diagonal/>
    </border>
    <border diagonalUp="false" diagonalDown="false">
      <left/>
      <right/>
      <top style="medium">
        <color rgb="FF1F3A5F"/>
      </top>
      <bottom/>
      <diagonal/>
    </border>
    <border diagonalUp="false" diagonalDown="false">
      <left style="thin">
        <color rgb="FFC7D2DE"/>
      </left>
      <right style="thin">
        <color rgb="FFC7D2DE"/>
      </right>
      <top style="thin">
        <color rgb="FFC7D2DE"/>
      </top>
      <bottom style="thin">
        <color rgb="FFC7D2DE"/>
      </bottom>
      <diagonal/>
    </border>
    <border diagonalUp="false" diagonalDown="false">
      <left style="medium">
        <color rgb="FFE0B34D"/>
      </left>
      <right style="medium">
        <color rgb="FFE0B34D"/>
      </right>
      <top style="medium">
        <color rgb="FFE0B34D"/>
      </top>
      <bottom style="medium">
        <color rgb="FFE0B34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4"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10" fillId="3" borderId="2"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1" shrinkToFit="false"/>
      <protection locked="true" hidden="false"/>
    </xf>
    <xf numFmtId="164" fontId="11" fillId="6" borderId="2" xfId="0" applyFont="true" applyBorder="true" applyAlignment="true" applyProtection="false">
      <alignment horizontal="left" vertical="top" textRotation="0" wrapText="true" indent="0" shrinkToFit="false"/>
      <protection locked="true" hidden="false"/>
    </xf>
    <xf numFmtId="164" fontId="7" fillId="6" borderId="2" xfId="0" applyFont="true" applyBorder="true" applyAlignment="true" applyProtection="false">
      <alignment horizontal="left" vertical="top" textRotation="0" wrapText="true" indent="0" shrinkToFit="false"/>
      <protection locked="true" hidden="false"/>
    </xf>
    <xf numFmtId="164" fontId="13" fillId="6" borderId="2" xfId="0" applyFont="true" applyBorder="true" applyAlignment="true" applyProtection="false">
      <alignment horizontal="left" vertical="top"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11" fillId="7" borderId="2" xfId="0" applyFont="true" applyBorder="true" applyAlignment="true" applyProtection="false">
      <alignment horizontal="left" vertical="top" textRotation="0" wrapText="true" indent="0" shrinkToFit="false"/>
      <protection locked="true" hidden="false"/>
    </xf>
    <xf numFmtId="164" fontId="7" fillId="7" borderId="2" xfId="0" applyFont="true" applyBorder="true" applyAlignment="true" applyProtection="false">
      <alignment horizontal="left" vertical="top" textRotation="0" wrapText="true" indent="0" shrinkToFit="false"/>
      <protection locked="true" hidden="false"/>
    </xf>
    <xf numFmtId="164" fontId="13" fillId="7" borderId="2" xfId="0" applyFont="true" applyBorder="true" applyAlignment="true" applyProtection="false">
      <alignment horizontal="left" vertical="top" textRotation="0" wrapText="true" indent="0" shrinkToFit="false"/>
      <protection locked="true" hidden="false"/>
    </xf>
    <xf numFmtId="164" fontId="12" fillId="7" borderId="2" xfId="0" applyFont="true" applyBorder="true" applyAlignment="true" applyProtection="false">
      <alignment horizontal="left" vertical="top" textRotation="0" wrapText="true" indent="0" shrinkToFit="false"/>
      <protection locked="true" hidden="false"/>
    </xf>
    <xf numFmtId="165" fontId="8" fillId="4" borderId="3" xfId="0" applyFont="true" applyBorder="true" applyAlignment="true" applyProtection="false">
      <alignment horizontal="center" vertical="center" textRotation="0" wrapText="false" indent="0" shrinkToFit="false"/>
      <protection locked="true" hidden="false"/>
    </xf>
    <xf numFmtId="166" fontId="8" fillId="4" borderId="3" xfId="0" applyFont="true" applyBorder="true" applyAlignment="true" applyProtection="false">
      <alignment horizontal="center" vertical="center" textRotation="0" wrapText="false" indent="0" shrinkToFit="false"/>
      <protection locked="true" hidden="false"/>
    </xf>
    <xf numFmtId="167" fontId="8" fillId="4" borderId="3" xfId="0" applyFont="true" applyBorder="true" applyAlignment="true" applyProtection="false">
      <alignment horizontal="center" vertical="center" textRotation="0" wrapText="false" indent="0" shrinkToFit="false"/>
      <protection locked="true" hidden="false"/>
    </xf>
    <xf numFmtId="166" fontId="9" fillId="5" borderId="2"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8" fontId="8" fillId="4" borderId="3"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C"/>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D6"/>
      <rgbColor rgb="FFF2F6FB"/>
      <rgbColor rgb="FF660066"/>
      <rgbColor rgb="FFFF8080"/>
      <rgbColor rgb="FF2E5A88"/>
      <rgbColor rgb="FFC7D2DE"/>
      <rgbColor rgb="FF000080"/>
      <rgbColor rgb="FFFF00FF"/>
      <rgbColor rgb="FFFFFF00"/>
      <rgbColor rgb="FF00FFFF"/>
      <rgbColor rgb="FF800080"/>
      <rgbColor rgb="FF800000"/>
      <rgbColor rgb="FF008080"/>
      <rgbColor rgb="FF0000FF"/>
      <rgbColor rgb="FF00CCFF"/>
      <rgbColor rgb="FFCCFFFF"/>
      <rgbColor rgb="FFE7F0E3"/>
      <rgbColor rgb="FFFFFF99"/>
      <rgbColor rgb="FF99CCFF"/>
      <rgbColor rgb="FFFF99CC"/>
      <rgbColor rgb="FFCC99FF"/>
      <rgbColor rgb="FFE0B34D"/>
      <rgbColor rgb="FF3366FF"/>
      <rgbColor rgb="FF33CCCC"/>
      <rgbColor rgb="FF99CC00"/>
      <rgbColor rgb="FFFFCC00"/>
      <rgbColor rgb="FFFF9900"/>
      <rgbColor rgb="FFFF6600"/>
      <rgbColor rgb="FF6B7280"/>
      <rgbColor rgb="FF969696"/>
      <rgbColor rgb="FF1A3D6D"/>
      <rgbColor rgb="FF339966"/>
      <rgbColor rgb="FF14532D"/>
      <rgbColor rgb="FF333300"/>
      <rgbColor rgb="FF993300"/>
      <rgbColor rgb="FF993366"/>
      <rgbColor rgb="FF1F3A5F"/>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4" min="2" style="1" width="30"/>
    <col collapsed="false" customWidth="true" hidden="false" outlineLevel="0" max="5" min="5" style="1" width="14"/>
  </cols>
  <sheetData>
    <row r="1" customFormat="false" ht="30" hidden="false" customHeight="true" outlineLevel="0" collapsed="false">
      <c r="A1" s="2" t="s">
        <v>0</v>
      </c>
      <c r="B1" s="2"/>
      <c r="C1" s="2"/>
      <c r="D1" s="2"/>
      <c r="E1" s="2"/>
    </row>
    <row r="2" customFormat="false" ht="18" hidden="false" customHeight="true" outlineLevel="0" collapsed="false">
      <c r="A2" s="3" t="s">
        <v>1</v>
      </c>
      <c r="B2" s="3"/>
      <c r="C2" s="3"/>
      <c r="D2" s="3"/>
      <c r="E2" s="3"/>
    </row>
    <row r="4" customFormat="false" ht="21.75" hidden="false" customHeight="true" outlineLevel="0" collapsed="false">
      <c r="A4" s="4" t="s">
        <v>2</v>
      </c>
      <c r="B4" s="4"/>
      <c r="C4" s="4"/>
      <c r="D4" s="4"/>
      <c r="E4" s="4"/>
    </row>
    <row r="5" customFormat="false" ht="15.75" hidden="false" customHeight="true" outlineLevel="0" collapsed="false">
      <c r="B5" s="5" t="s">
        <v>3</v>
      </c>
      <c r="C5" s="5"/>
      <c r="D5" s="5"/>
      <c r="E5" s="5"/>
    </row>
    <row r="6" customFormat="false" ht="15.75" hidden="false" customHeight="true" outlineLevel="0" collapsed="false">
      <c r="B6" s="5"/>
      <c r="C6" s="5"/>
      <c r="D6" s="5"/>
      <c r="E6" s="5"/>
    </row>
    <row r="7" customFormat="false" ht="15.75" hidden="false" customHeight="true" outlineLevel="0" collapsed="false">
      <c r="B7" s="5"/>
      <c r="C7" s="5"/>
      <c r="D7" s="5"/>
      <c r="E7" s="5"/>
    </row>
    <row r="9" customFormat="false" ht="21.75" hidden="false" customHeight="true" outlineLevel="0" collapsed="false">
      <c r="A9" s="4" t="s">
        <v>4</v>
      </c>
      <c r="B9" s="4"/>
      <c r="C9" s="4"/>
      <c r="D9" s="4"/>
      <c r="E9" s="4"/>
    </row>
    <row r="10" customFormat="false" ht="19.5" hidden="false" customHeight="true" outlineLevel="0" collapsed="false">
      <c r="B10" s="6" t="s">
        <v>5</v>
      </c>
      <c r="C10" s="7" t="s">
        <v>6</v>
      </c>
      <c r="D10" s="7"/>
      <c r="E10" s="7"/>
    </row>
    <row r="11" customFormat="false" ht="19.5" hidden="false" customHeight="true" outlineLevel="0" collapsed="false">
      <c r="B11" s="8" t="s">
        <v>7</v>
      </c>
      <c r="C11" s="7" t="s">
        <v>8</v>
      </c>
      <c r="D11" s="7"/>
      <c r="E11" s="7"/>
    </row>
    <row r="13" customFormat="false" ht="21.75" hidden="false" customHeight="true" outlineLevel="0" collapsed="false">
      <c r="A13" s="4" t="s">
        <v>9</v>
      </c>
      <c r="B13" s="4"/>
      <c r="C13" s="4"/>
      <c r="D13" s="4"/>
      <c r="E13" s="4"/>
    </row>
    <row r="14" customFormat="false" ht="25.5" hidden="false" customHeight="true" outlineLevel="0" collapsed="false">
      <c r="B14" s="9" t="s">
        <v>10</v>
      </c>
      <c r="C14" s="9" t="s">
        <v>11</v>
      </c>
      <c r="D14" s="9"/>
      <c r="E14" s="9"/>
    </row>
    <row r="15" customFormat="false" ht="31.5" hidden="false" customHeight="true" outlineLevel="0" collapsed="false">
      <c r="B15" s="10" t="s">
        <v>12</v>
      </c>
      <c r="C15" s="11" t="s">
        <v>13</v>
      </c>
      <c r="D15" s="11"/>
      <c r="E15" s="11"/>
    </row>
    <row r="16" customFormat="false" ht="31.5" hidden="false" customHeight="true" outlineLevel="0" collapsed="false">
      <c r="B16" s="10" t="s">
        <v>14</v>
      </c>
      <c r="C16" s="11" t="s">
        <v>15</v>
      </c>
      <c r="D16" s="11"/>
      <c r="E16" s="11"/>
    </row>
    <row r="17" customFormat="false" ht="31.5" hidden="false" customHeight="true" outlineLevel="0" collapsed="false">
      <c r="B17" s="10" t="s">
        <v>16</v>
      </c>
      <c r="C17" s="11" t="s">
        <v>17</v>
      </c>
      <c r="D17" s="11"/>
      <c r="E17" s="11"/>
    </row>
    <row r="18" customFormat="false" ht="31.5" hidden="false" customHeight="true" outlineLevel="0" collapsed="false">
      <c r="B18" s="10" t="s">
        <v>18</v>
      </c>
      <c r="C18" s="11" t="s">
        <v>19</v>
      </c>
      <c r="D18" s="11"/>
      <c r="E18" s="11"/>
    </row>
    <row r="19" customFormat="false" ht="31.5" hidden="false" customHeight="true" outlineLevel="0" collapsed="false">
      <c r="B19" s="10" t="s">
        <v>20</v>
      </c>
      <c r="C19" s="11" t="s">
        <v>21</v>
      </c>
      <c r="D19" s="11"/>
      <c r="E19" s="11"/>
    </row>
    <row r="21" customFormat="false" ht="21.75" hidden="false" customHeight="true" outlineLevel="0" collapsed="false">
      <c r="A21" s="4" t="s">
        <v>22</v>
      </c>
      <c r="B21" s="4"/>
      <c r="C21" s="4"/>
      <c r="D21" s="4"/>
      <c r="E21" s="4"/>
    </row>
    <row r="22" customFormat="false" ht="25.5" hidden="false" customHeight="true" outlineLevel="0" collapsed="false">
      <c r="B22" s="9" t="s">
        <v>23</v>
      </c>
      <c r="C22" s="9" t="s">
        <v>24</v>
      </c>
      <c r="D22" s="9"/>
      <c r="E22" s="9"/>
    </row>
    <row r="23" customFormat="false" ht="24" hidden="false" customHeight="true" outlineLevel="0" collapsed="false">
      <c r="B23" s="12" t="s">
        <v>25</v>
      </c>
      <c r="C23" s="13" t="s">
        <v>26</v>
      </c>
      <c r="D23" s="13"/>
      <c r="E23" s="13"/>
    </row>
    <row r="24" customFormat="false" ht="24" hidden="false" customHeight="true" outlineLevel="0" collapsed="false">
      <c r="B24" s="12" t="s">
        <v>27</v>
      </c>
      <c r="C24" s="13" t="s">
        <v>28</v>
      </c>
      <c r="D24" s="13"/>
      <c r="E24" s="13"/>
    </row>
    <row r="25" customFormat="false" ht="24" hidden="false" customHeight="true" outlineLevel="0" collapsed="false">
      <c r="B25" s="12" t="s">
        <v>29</v>
      </c>
      <c r="C25" s="13" t="s">
        <v>30</v>
      </c>
      <c r="D25" s="13"/>
      <c r="E25" s="13"/>
    </row>
    <row r="26" customFormat="false" ht="24" hidden="false" customHeight="true" outlineLevel="0" collapsed="false">
      <c r="B26" s="12" t="s">
        <v>31</v>
      </c>
      <c r="C26" s="13" t="s">
        <v>32</v>
      </c>
      <c r="D26" s="13"/>
      <c r="E26" s="13"/>
    </row>
    <row r="27" customFormat="false" ht="24" hidden="false" customHeight="true" outlineLevel="0" collapsed="false">
      <c r="B27" s="12" t="s">
        <v>33</v>
      </c>
      <c r="C27" s="13" t="s">
        <v>34</v>
      </c>
      <c r="D27" s="13"/>
      <c r="E27" s="13"/>
    </row>
    <row r="28" customFormat="false" ht="24" hidden="false" customHeight="true" outlineLevel="0" collapsed="false">
      <c r="B28" s="12" t="s">
        <v>35</v>
      </c>
      <c r="C28" s="13" t="s">
        <v>36</v>
      </c>
      <c r="D28" s="13"/>
      <c r="E28" s="13"/>
    </row>
    <row r="29" customFormat="false" ht="24" hidden="false" customHeight="true" outlineLevel="0" collapsed="false">
      <c r="B29" s="12" t="s">
        <v>37</v>
      </c>
      <c r="C29" s="13" t="s">
        <v>38</v>
      </c>
      <c r="D29" s="13"/>
      <c r="E29" s="13"/>
    </row>
    <row r="31" customFormat="false" ht="15" hidden="false" customHeight="true" outlineLevel="0" collapsed="false">
      <c r="B31" s="14" t="s">
        <v>39</v>
      </c>
      <c r="C31" s="14"/>
      <c r="D31" s="14"/>
      <c r="E31" s="14"/>
    </row>
    <row r="32" customFormat="false" ht="15" hidden="false" customHeight="true" outlineLevel="0" collapsed="false">
      <c r="B32" s="14"/>
      <c r="C32" s="14"/>
      <c r="D32" s="14"/>
      <c r="E32" s="14"/>
    </row>
  </sheetData>
  <mergeCells count="24">
    <mergeCell ref="A1:E1"/>
    <mergeCell ref="A2:E2"/>
    <mergeCell ref="A4:E4"/>
    <mergeCell ref="B5:E7"/>
    <mergeCell ref="A9:E9"/>
    <mergeCell ref="C10:E10"/>
    <mergeCell ref="C11:E11"/>
    <mergeCell ref="A13:E13"/>
    <mergeCell ref="C14:E14"/>
    <mergeCell ref="C15:E15"/>
    <mergeCell ref="C16:E16"/>
    <mergeCell ref="C17:E17"/>
    <mergeCell ref="C18:E18"/>
    <mergeCell ref="C19:E19"/>
    <mergeCell ref="A21:E21"/>
    <mergeCell ref="C22:E22"/>
    <mergeCell ref="C23:E23"/>
    <mergeCell ref="C24:E24"/>
    <mergeCell ref="C25:E25"/>
    <mergeCell ref="C26:E26"/>
    <mergeCell ref="C27:E27"/>
    <mergeCell ref="C28:E28"/>
    <mergeCell ref="C29:E29"/>
    <mergeCell ref="B31: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30"/>
    <col collapsed="false" customWidth="true" hidden="false" outlineLevel="0" max="4" min="4" style="1" width="34"/>
    <col collapsed="false" customWidth="true" hidden="false" outlineLevel="0" max="5" min="5" style="1" width="26"/>
  </cols>
  <sheetData>
    <row r="1" customFormat="false" ht="30" hidden="false" customHeight="true" outlineLevel="0" collapsed="false">
      <c r="A1" s="2" t="s">
        <v>25</v>
      </c>
      <c r="B1" s="2"/>
      <c r="C1" s="2"/>
      <c r="D1" s="2"/>
      <c r="E1" s="2"/>
    </row>
    <row r="2" customFormat="false" ht="18" hidden="false" customHeight="true" outlineLevel="0" collapsed="false">
      <c r="A2" s="3" t="s">
        <v>40</v>
      </c>
      <c r="B2" s="3"/>
      <c r="C2" s="3"/>
      <c r="D2" s="3"/>
      <c r="E2" s="3"/>
    </row>
    <row r="4" customFormat="false" ht="25.5" hidden="false" customHeight="true" outlineLevel="0" collapsed="false">
      <c r="B4" s="9" t="s">
        <v>41</v>
      </c>
      <c r="C4" s="9" t="s">
        <v>42</v>
      </c>
      <c r="D4" s="9" t="s">
        <v>43</v>
      </c>
      <c r="E4" s="9" t="s">
        <v>44</v>
      </c>
    </row>
    <row r="5" customFormat="false" ht="19.5" hidden="false" customHeight="true" outlineLevel="0" collapsed="false">
      <c r="B5" s="15" t="s">
        <v>45</v>
      </c>
      <c r="C5" s="15"/>
      <c r="D5" s="15"/>
      <c r="E5" s="15"/>
    </row>
    <row r="6" customFormat="false" ht="39.75" hidden="false" customHeight="true" outlineLevel="0" collapsed="false">
      <c r="B6" s="16" t="s">
        <v>46</v>
      </c>
      <c r="C6" s="17" t="s">
        <v>47</v>
      </c>
      <c r="D6" s="18" t="s">
        <v>48</v>
      </c>
      <c r="E6" s="19" t="s">
        <v>49</v>
      </c>
    </row>
    <row r="7" customFormat="false" ht="39.75" hidden="false" customHeight="true" outlineLevel="0" collapsed="false">
      <c r="B7" s="20" t="s">
        <v>50</v>
      </c>
      <c r="C7" s="21" t="s">
        <v>51</v>
      </c>
      <c r="D7" s="22" t="s">
        <v>52</v>
      </c>
      <c r="E7" s="23" t="s">
        <v>53</v>
      </c>
    </row>
    <row r="8" customFormat="false" ht="39.75" hidden="false" customHeight="true" outlineLevel="0" collapsed="false">
      <c r="B8" s="16" t="s">
        <v>54</v>
      </c>
      <c r="C8" s="17" t="s">
        <v>55</v>
      </c>
      <c r="D8" s="18" t="s">
        <v>56</v>
      </c>
      <c r="E8" s="19" t="s">
        <v>57</v>
      </c>
    </row>
    <row r="9" customFormat="false" ht="19.5" hidden="false" customHeight="true" outlineLevel="0" collapsed="false">
      <c r="B9" s="15" t="s">
        <v>58</v>
      </c>
      <c r="C9" s="15"/>
      <c r="D9" s="15"/>
      <c r="E9" s="15"/>
    </row>
    <row r="10" customFormat="false" ht="39.75" hidden="false" customHeight="true" outlineLevel="0" collapsed="false">
      <c r="B10" s="16" t="s">
        <v>59</v>
      </c>
      <c r="C10" s="17" t="s">
        <v>60</v>
      </c>
      <c r="D10" s="18" t="s">
        <v>61</v>
      </c>
      <c r="E10" s="19" t="s">
        <v>62</v>
      </c>
    </row>
    <row r="11" customFormat="false" ht="39.75" hidden="false" customHeight="true" outlineLevel="0" collapsed="false">
      <c r="B11" s="20" t="s">
        <v>63</v>
      </c>
      <c r="C11" s="21" t="s">
        <v>64</v>
      </c>
      <c r="D11" s="22" t="s">
        <v>65</v>
      </c>
      <c r="E11" s="23" t="s">
        <v>66</v>
      </c>
    </row>
    <row r="12" customFormat="false" ht="39.75" hidden="false" customHeight="true" outlineLevel="0" collapsed="false">
      <c r="B12" s="16" t="s">
        <v>67</v>
      </c>
      <c r="C12" s="17" t="s">
        <v>68</v>
      </c>
      <c r="D12" s="18" t="s">
        <v>69</v>
      </c>
      <c r="E12" s="19" t="s">
        <v>70</v>
      </c>
    </row>
    <row r="13" customFormat="false" ht="19.5" hidden="false" customHeight="true" outlineLevel="0" collapsed="false">
      <c r="B13" s="15" t="s">
        <v>71</v>
      </c>
      <c r="C13" s="15"/>
      <c r="D13" s="15"/>
      <c r="E13" s="15"/>
    </row>
    <row r="14" customFormat="false" ht="39.75" hidden="false" customHeight="true" outlineLevel="0" collapsed="false">
      <c r="B14" s="16" t="s">
        <v>72</v>
      </c>
      <c r="C14" s="17" t="s">
        <v>73</v>
      </c>
      <c r="D14" s="18" t="s">
        <v>74</v>
      </c>
      <c r="E14" s="19" t="s">
        <v>75</v>
      </c>
    </row>
    <row r="15" customFormat="false" ht="39.75" hidden="false" customHeight="true" outlineLevel="0" collapsed="false">
      <c r="B15" s="20" t="s">
        <v>76</v>
      </c>
      <c r="C15" s="21" t="s">
        <v>77</v>
      </c>
      <c r="D15" s="22" t="s">
        <v>78</v>
      </c>
      <c r="E15" s="23" t="s">
        <v>79</v>
      </c>
    </row>
    <row r="16" customFormat="false" ht="39.75" hidden="false" customHeight="true" outlineLevel="0" collapsed="false">
      <c r="B16" s="16" t="s">
        <v>80</v>
      </c>
      <c r="C16" s="17" t="s">
        <v>81</v>
      </c>
      <c r="D16" s="18" t="s">
        <v>82</v>
      </c>
      <c r="E16" s="19" t="s">
        <v>83</v>
      </c>
    </row>
    <row r="17" customFormat="false" ht="39.75" hidden="false" customHeight="true" outlineLevel="0" collapsed="false">
      <c r="B17" s="20" t="s">
        <v>84</v>
      </c>
      <c r="C17" s="21" t="s">
        <v>85</v>
      </c>
      <c r="D17" s="22" t="s">
        <v>86</v>
      </c>
      <c r="E17" s="23" t="s">
        <v>87</v>
      </c>
    </row>
    <row r="18" customFormat="false" ht="19.5" hidden="false" customHeight="true" outlineLevel="0" collapsed="false">
      <c r="B18" s="15" t="s">
        <v>88</v>
      </c>
      <c r="C18" s="15"/>
      <c r="D18" s="15"/>
      <c r="E18" s="15"/>
    </row>
    <row r="19" customFormat="false" ht="39.75" hidden="false" customHeight="true" outlineLevel="0" collapsed="false">
      <c r="B19" s="16" t="s">
        <v>89</v>
      </c>
      <c r="C19" s="17" t="s">
        <v>90</v>
      </c>
      <c r="D19" s="18" t="s">
        <v>91</v>
      </c>
      <c r="E19" s="19" t="s">
        <v>92</v>
      </c>
    </row>
    <row r="20" customFormat="false" ht="39.75" hidden="false" customHeight="true" outlineLevel="0" collapsed="false">
      <c r="B20" s="20" t="s">
        <v>93</v>
      </c>
      <c r="C20" s="21" t="s">
        <v>94</v>
      </c>
      <c r="D20" s="22" t="s">
        <v>95</v>
      </c>
      <c r="E20" s="23" t="s">
        <v>96</v>
      </c>
    </row>
    <row r="21" customFormat="false" ht="39.75" hidden="false" customHeight="true" outlineLevel="0" collapsed="false">
      <c r="B21" s="16" t="s">
        <v>97</v>
      </c>
      <c r="C21" s="17" t="s">
        <v>98</v>
      </c>
      <c r="D21" s="18" t="s">
        <v>99</v>
      </c>
      <c r="E21" s="19" t="s">
        <v>100</v>
      </c>
    </row>
    <row r="22" customFormat="false" ht="39.75" hidden="false" customHeight="true" outlineLevel="0" collapsed="false">
      <c r="B22" s="20" t="s">
        <v>101</v>
      </c>
      <c r="C22" s="21" t="s">
        <v>102</v>
      </c>
      <c r="D22" s="22" t="s">
        <v>103</v>
      </c>
      <c r="E22" s="23" t="s">
        <v>104</v>
      </c>
    </row>
    <row r="23" customFormat="false" ht="19.5" hidden="false" customHeight="true" outlineLevel="0" collapsed="false">
      <c r="B23" s="15" t="s">
        <v>105</v>
      </c>
      <c r="C23" s="15"/>
      <c r="D23" s="15"/>
      <c r="E23" s="15"/>
    </row>
    <row r="24" customFormat="false" ht="39.75" hidden="false" customHeight="true" outlineLevel="0" collapsed="false">
      <c r="B24" s="16" t="s">
        <v>106</v>
      </c>
      <c r="C24" s="17" t="s">
        <v>107</v>
      </c>
      <c r="D24" s="18" t="s">
        <v>108</v>
      </c>
      <c r="E24" s="19" t="s">
        <v>109</v>
      </c>
    </row>
    <row r="25" customFormat="false" ht="39.75" hidden="false" customHeight="true" outlineLevel="0" collapsed="false">
      <c r="B25" s="20" t="s">
        <v>110</v>
      </c>
      <c r="C25" s="21" t="s">
        <v>111</v>
      </c>
      <c r="D25" s="22" t="s">
        <v>112</v>
      </c>
      <c r="E25" s="23" t="s">
        <v>113</v>
      </c>
    </row>
    <row r="26" customFormat="false" ht="19.5" hidden="false" customHeight="true" outlineLevel="0" collapsed="false">
      <c r="B26" s="15" t="s">
        <v>114</v>
      </c>
      <c r="C26" s="15"/>
      <c r="D26" s="15"/>
      <c r="E26" s="15"/>
    </row>
    <row r="27" customFormat="false" ht="39.75" hidden="false" customHeight="true" outlineLevel="0" collapsed="false">
      <c r="B27" s="16" t="s">
        <v>115</v>
      </c>
      <c r="C27" s="17" t="s">
        <v>116</v>
      </c>
      <c r="D27" s="18" t="s">
        <v>117</v>
      </c>
      <c r="E27" s="19" t="s">
        <v>118</v>
      </c>
    </row>
    <row r="28" customFormat="false" ht="39.75" hidden="false" customHeight="true" outlineLevel="0" collapsed="false">
      <c r="B28" s="20" t="s">
        <v>119</v>
      </c>
      <c r="C28" s="21" t="s">
        <v>120</v>
      </c>
      <c r="D28" s="22" t="s">
        <v>121</v>
      </c>
      <c r="E28" s="23" t="s">
        <v>122</v>
      </c>
    </row>
    <row r="29" customFormat="false" ht="39.75" hidden="false" customHeight="true" outlineLevel="0" collapsed="false">
      <c r="B29" s="16" t="s">
        <v>123</v>
      </c>
      <c r="C29" s="17" t="s">
        <v>124</v>
      </c>
      <c r="D29" s="18" t="s">
        <v>125</v>
      </c>
      <c r="E29" s="19" t="s">
        <v>126</v>
      </c>
    </row>
  </sheetData>
  <mergeCells count="8">
    <mergeCell ref="A1:E1"/>
    <mergeCell ref="A2:E2"/>
    <mergeCell ref="B5:E5"/>
    <mergeCell ref="B9:E9"/>
    <mergeCell ref="B13:E13"/>
    <mergeCell ref="B18:E18"/>
    <mergeCell ref="B23:E23"/>
    <mergeCell ref="B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6"/>
    <col collapsed="false" customWidth="true" hidden="false" outlineLevel="0" max="4" min="4" style="1" width="20"/>
    <col collapsed="false" customWidth="true" hidden="false" outlineLevel="0" max="5" min="5" style="1" width="30"/>
  </cols>
  <sheetData>
    <row r="1" customFormat="false" ht="30" hidden="false" customHeight="true" outlineLevel="0" collapsed="false">
      <c r="A1" s="2" t="s">
        <v>27</v>
      </c>
      <c r="B1" s="2"/>
      <c r="C1" s="2"/>
      <c r="D1" s="2"/>
      <c r="E1" s="2"/>
    </row>
    <row r="2" customFormat="false" ht="18" hidden="false" customHeight="true" outlineLevel="0" collapsed="false">
      <c r="A2" s="3" t="s">
        <v>127</v>
      </c>
      <c r="B2" s="3"/>
      <c r="C2" s="3"/>
      <c r="D2" s="3"/>
      <c r="E2" s="3"/>
    </row>
    <row r="4" customFormat="false" ht="21.75" hidden="false" customHeight="true" outlineLevel="0" collapsed="false">
      <c r="A4" s="4" t="s">
        <v>128</v>
      </c>
      <c r="B4" s="4"/>
      <c r="C4" s="4"/>
      <c r="D4" s="4"/>
      <c r="E4" s="4"/>
    </row>
    <row r="5" customFormat="false" ht="15" hidden="false" customHeight="true" outlineLevel="0" collapsed="false">
      <c r="B5" s="12" t="s">
        <v>129</v>
      </c>
      <c r="C5" s="24" t="n">
        <v>40</v>
      </c>
    </row>
    <row r="6" customFormat="false" ht="15" hidden="false" customHeight="true" outlineLevel="0" collapsed="false">
      <c r="B6" s="12" t="s">
        <v>130</v>
      </c>
      <c r="C6" s="25" t="n">
        <v>108</v>
      </c>
    </row>
    <row r="7" customFormat="false" ht="15" hidden="false" customHeight="true" outlineLevel="0" collapsed="false">
      <c r="B7" s="12" t="s">
        <v>131</v>
      </c>
      <c r="C7" s="25" t="n">
        <v>16</v>
      </c>
    </row>
    <row r="8" customFormat="false" ht="15" hidden="false" customHeight="true" outlineLevel="0" collapsed="false">
      <c r="B8" s="12" t="s">
        <v>132</v>
      </c>
      <c r="C8" s="26" t="n">
        <v>0.1</v>
      </c>
    </row>
    <row r="9" customFormat="false" ht="15" hidden="false" customHeight="true" outlineLevel="0" collapsed="false">
      <c r="B9" s="12" t="s">
        <v>133</v>
      </c>
      <c r="C9" s="25" t="n">
        <v>16</v>
      </c>
    </row>
    <row r="10" customFormat="false" ht="15" hidden="false" customHeight="true" outlineLevel="0" collapsed="false">
      <c r="B10" s="12" t="s">
        <v>134</v>
      </c>
      <c r="C10" s="26" t="n">
        <v>0.05</v>
      </c>
    </row>
    <row r="11" customFormat="false" ht="23.25" hidden="false" customHeight="true" outlineLevel="0" collapsed="false">
      <c r="B11" s="12" t="s">
        <v>135</v>
      </c>
      <c r="C11" s="25" t="n">
        <v>0</v>
      </c>
    </row>
    <row r="13" customFormat="false" ht="21.75" hidden="false" customHeight="true" outlineLevel="0" collapsed="false">
      <c r="A13" s="4" t="s">
        <v>136</v>
      </c>
      <c r="B13" s="4"/>
      <c r="C13" s="4"/>
      <c r="D13" s="4"/>
      <c r="E13" s="4"/>
    </row>
    <row r="14" customFormat="false" ht="25.5" hidden="false" customHeight="true" outlineLevel="0" collapsed="false">
      <c r="B14" s="9" t="s">
        <v>137</v>
      </c>
      <c r="C14" s="9" t="s">
        <v>138</v>
      </c>
      <c r="D14" s="9" t="s">
        <v>139</v>
      </c>
      <c r="E14" s="9" t="s">
        <v>140</v>
      </c>
    </row>
    <row r="15" customFormat="false" ht="34.5" hidden="false" customHeight="true" outlineLevel="0" collapsed="false">
      <c r="B15" s="12" t="s">
        <v>46</v>
      </c>
      <c r="C15" s="13" t="s">
        <v>141</v>
      </c>
      <c r="D15" s="8" t="n">
        <f aca="false">CEILING((CEILING(C5*12/C7,1)+C11)*(1+C8),1)</f>
        <v>33</v>
      </c>
      <c r="E15" s="8" t="n">
        <f aca="false">INDEX('Stock Lengths'!$B$6:$B$14,MATCH(TRUE(),'Stock Lengths'!$B$6:$B$14&gt;=(C6/12),0))</f>
        <v>10</v>
      </c>
    </row>
    <row r="16" customFormat="false" ht="23.25" hidden="false" customHeight="true" outlineLevel="0" collapsed="false">
      <c r="B16" s="12" t="s">
        <v>142</v>
      </c>
      <c r="C16" s="13" t="s">
        <v>143</v>
      </c>
      <c r="D16" s="8" t="n">
        <f aca="false">CEILING(CEILING(C5/C9,1)*2*(1+C10),1)</f>
        <v>7</v>
      </c>
      <c r="E16" s="27" t="n">
        <f aca="false">C9</f>
        <v>16</v>
      </c>
    </row>
    <row r="17" customFormat="false" ht="23.25" hidden="false" customHeight="true" outlineLevel="0" collapsed="false">
      <c r="B17" s="12" t="s">
        <v>144</v>
      </c>
      <c r="C17" s="13" t="s">
        <v>145</v>
      </c>
      <c r="D17" s="8" t="n">
        <f aca="false">CEILING(CEILING(C5/C9,1)*1*(1+C10),1)</f>
        <v>4</v>
      </c>
      <c r="E17" s="27" t="n">
        <f aca="false">C9</f>
        <v>16</v>
      </c>
    </row>
    <row r="19" customFormat="false" ht="15" hidden="false" customHeight="true" outlineLevel="0" collapsed="false">
      <c r="B19" s="28" t="s">
        <v>146</v>
      </c>
      <c r="C19" s="28"/>
      <c r="D19" s="28"/>
      <c r="E19" s="28"/>
    </row>
  </sheetData>
  <mergeCells count="5">
    <mergeCell ref="A1:E1"/>
    <mergeCell ref="A2:E2"/>
    <mergeCell ref="A4:E4"/>
    <mergeCell ref="A13:E13"/>
    <mergeCell ref="B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6"/>
    <col collapsed="false" customWidth="true" hidden="false" outlineLevel="0" max="4" min="4" style="1" width="20"/>
    <col collapsed="false" customWidth="true" hidden="false" outlineLevel="0" max="5" min="5" style="1" width="30"/>
  </cols>
  <sheetData>
    <row r="1" customFormat="false" ht="30" hidden="false" customHeight="true" outlineLevel="0" collapsed="false">
      <c r="A1" s="2" t="s">
        <v>29</v>
      </c>
      <c r="B1" s="2"/>
      <c r="C1" s="2"/>
      <c r="D1" s="2"/>
      <c r="E1" s="2"/>
    </row>
    <row r="2" customFormat="false" ht="18" hidden="false" customHeight="true" outlineLevel="0" collapsed="false">
      <c r="A2" s="3" t="s">
        <v>147</v>
      </c>
      <c r="B2" s="3"/>
      <c r="C2" s="3"/>
      <c r="D2" s="3"/>
      <c r="E2" s="3"/>
    </row>
    <row r="4" customFormat="false" ht="21.75" hidden="false" customHeight="true" outlineLevel="0" collapsed="false">
      <c r="A4" s="4" t="s">
        <v>128</v>
      </c>
      <c r="B4" s="4"/>
      <c r="C4" s="4"/>
      <c r="D4" s="4"/>
      <c r="E4" s="4"/>
    </row>
    <row r="5" customFormat="false" ht="23.25" hidden="false" customHeight="true" outlineLevel="0" collapsed="false">
      <c r="B5" s="12" t="s">
        <v>148</v>
      </c>
      <c r="C5" s="24" t="n">
        <v>24</v>
      </c>
    </row>
    <row r="6" customFormat="false" ht="23.25" hidden="false" customHeight="true" outlineLevel="0" collapsed="false">
      <c r="B6" s="12" t="s">
        <v>149</v>
      </c>
      <c r="C6" s="24" t="n">
        <v>12</v>
      </c>
    </row>
    <row r="7" customFormat="false" ht="15" hidden="false" customHeight="true" outlineLevel="0" collapsed="false">
      <c r="B7" s="12" t="s">
        <v>150</v>
      </c>
      <c r="C7" s="25" t="n">
        <v>16</v>
      </c>
    </row>
    <row r="8" customFormat="false" ht="15" hidden="false" customHeight="true" outlineLevel="0" collapsed="false">
      <c r="B8" s="12" t="s">
        <v>151</v>
      </c>
      <c r="C8" s="26" t="n">
        <v>0.05</v>
      </c>
    </row>
    <row r="9" customFormat="false" ht="15" hidden="false" customHeight="true" outlineLevel="0" collapsed="false">
      <c r="B9" s="12" t="s">
        <v>152</v>
      </c>
      <c r="C9" s="25" t="n">
        <v>16</v>
      </c>
    </row>
    <row r="10" customFormat="false" ht="15" hidden="false" customHeight="true" outlineLevel="0" collapsed="false">
      <c r="B10" s="12" t="s">
        <v>153</v>
      </c>
      <c r="C10" s="26" t="n">
        <v>0.05</v>
      </c>
    </row>
    <row r="11" customFormat="false" ht="15" hidden="false" customHeight="true" outlineLevel="0" collapsed="false">
      <c r="B11" s="12" t="s">
        <v>154</v>
      </c>
      <c r="C11" s="26" t="n">
        <v>0.1</v>
      </c>
    </row>
    <row r="13" customFormat="false" ht="21.75" hidden="false" customHeight="true" outlineLevel="0" collapsed="false">
      <c r="A13" s="4" t="s">
        <v>155</v>
      </c>
      <c r="B13" s="4"/>
      <c r="C13" s="4"/>
      <c r="D13" s="4"/>
      <c r="E13" s="4"/>
    </row>
    <row r="14" customFormat="false" ht="15" hidden="false" customHeight="true" outlineLevel="0" collapsed="false">
      <c r="B14" s="12" t="s">
        <v>156</v>
      </c>
      <c r="C14" s="8" t="n">
        <f aca="false">C5*C6</f>
        <v>288</v>
      </c>
    </row>
    <row r="15" customFormat="false" ht="15" hidden="false" customHeight="true" outlineLevel="0" collapsed="false">
      <c r="B15" s="12" t="s">
        <v>157</v>
      </c>
      <c r="C15" s="8" t="n">
        <f aca="false">2*(C5+C6)</f>
        <v>72</v>
      </c>
    </row>
    <row r="17" customFormat="false" ht="21.75" hidden="false" customHeight="true" outlineLevel="0" collapsed="false">
      <c r="A17" s="4" t="s">
        <v>136</v>
      </c>
      <c r="B17" s="4"/>
      <c r="C17" s="4"/>
      <c r="D17" s="4"/>
      <c r="E17" s="4"/>
    </row>
    <row r="18" customFormat="false" ht="25.5" hidden="false" customHeight="true" outlineLevel="0" collapsed="false">
      <c r="B18" s="9" t="s">
        <v>137</v>
      </c>
      <c r="C18" s="9" t="s">
        <v>138</v>
      </c>
      <c r="D18" s="9" t="s">
        <v>139</v>
      </c>
      <c r="E18" s="9" t="s">
        <v>140</v>
      </c>
    </row>
    <row r="19" customFormat="false" ht="34.5" hidden="false" customHeight="true" outlineLevel="0" collapsed="false">
      <c r="B19" s="12" t="s">
        <v>59</v>
      </c>
      <c r="C19" s="13" t="s">
        <v>158</v>
      </c>
      <c r="D19" s="8" t="n">
        <f aca="false">CEILING((CEILING(C5*12/C7,1)+1)*(1+C8),1)</f>
        <v>20</v>
      </c>
      <c r="E19" s="8" t="n">
        <f aca="false">INDEX('Stock Lengths'!$B$6:$B$14,MATCH(TRUE(),'Stock Lengths'!$B$6:$B$14&gt;=(C6),0))</f>
        <v>12</v>
      </c>
    </row>
    <row r="20" customFormat="false" ht="23.25" hidden="false" customHeight="true" outlineLevel="0" collapsed="false">
      <c r="B20" s="12" t="s">
        <v>63</v>
      </c>
      <c r="C20" s="13" t="s">
        <v>159</v>
      </c>
      <c r="D20" s="8" t="n">
        <f aca="false">CEILING(CEILING(C15/C9,1)*(1+C10),1)</f>
        <v>6</v>
      </c>
      <c r="E20" s="27" t="n">
        <f aca="false">C9</f>
        <v>16</v>
      </c>
    </row>
    <row r="21" customFormat="false" ht="23.25" hidden="false" customHeight="true" outlineLevel="0" collapsed="false">
      <c r="B21" s="12" t="s">
        <v>160</v>
      </c>
      <c r="C21" s="13" t="s">
        <v>161</v>
      </c>
      <c r="D21" s="8" t="n">
        <f aca="false">CEILING(CEILING(C14/32,1)*(1+C11),1)</f>
        <v>10</v>
      </c>
      <c r="E21" s="8" t="s">
        <v>162</v>
      </c>
    </row>
    <row r="23" customFormat="false" ht="15" hidden="false" customHeight="true" outlineLevel="0" collapsed="false">
      <c r="B23" s="28" t="s">
        <v>163</v>
      </c>
      <c r="C23" s="28"/>
      <c r="D23" s="28"/>
      <c r="E23" s="28"/>
    </row>
  </sheetData>
  <mergeCells count="6">
    <mergeCell ref="A1:E1"/>
    <mergeCell ref="A2:E2"/>
    <mergeCell ref="A4:E4"/>
    <mergeCell ref="A13:E13"/>
    <mergeCell ref="A17:E17"/>
    <mergeCell ref="B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6"/>
    <col collapsed="false" customWidth="true" hidden="false" outlineLevel="0" max="4" min="4" style="1" width="20"/>
    <col collapsed="false" customWidth="true" hidden="false" outlineLevel="0" max="5" min="5" style="1" width="30"/>
  </cols>
  <sheetData>
    <row r="1" customFormat="false" ht="30" hidden="false" customHeight="true" outlineLevel="0" collapsed="false">
      <c r="A1" s="2" t="s">
        <v>31</v>
      </c>
      <c r="B1" s="2"/>
      <c r="C1" s="2"/>
      <c r="D1" s="2"/>
      <c r="E1" s="2"/>
    </row>
    <row r="2" customFormat="false" ht="18" hidden="false" customHeight="true" outlineLevel="0" collapsed="false">
      <c r="A2" s="3" t="s">
        <v>164</v>
      </c>
      <c r="B2" s="3"/>
      <c r="C2" s="3"/>
      <c r="D2" s="3"/>
      <c r="E2" s="3"/>
    </row>
    <row r="4" customFormat="false" ht="21.75" hidden="false" customHeight="true" outlineLevel="0" collapsed="false">
      <c r="A4" s="4" t="s">
        <v>128</v>
      </c>
      <c r="B4" s="4"/>
      <c r="C4" s="4"/>
      <c r="D4" s="4"/>
      <c r="E4" s="4"/>
    </row>
    <row r="5" customFormat="false" ht="23.25" hidden="false" customHeight="true" outlineLevel="0" collapsed="false">
      <c r="B5" s="12" t="s">
        <v>165</v>
      </c>
      <c r="C5" s="24" t="n">
        <v>40</v>
      </c>
    </row>
    <row r="6" customFormat="false" ht="15" hidden="false" customHeight="true" outlineLevel="0" collapsed="false">
      <c r="B6" s="12" t="s">
        <v>166</v>
      </c>
      <c r="C6" s="25" t="n">
        <v>24</v>
      </c>
    </row>
    <row r="7" customFormat="false" ht="15" hidden="false" customHeight="true" outlineLevel="0" collapsed="false">
      <c r="B7" s="12" t="s">
        <v>167</v>
      </c>
      <c r="C7" s="24" t="n">
        <v>16</v>
      </c>
    </row>
    <row r="8" customFormat="false" ht="15" hidden="false" customHeight="true" outlineLevel="0" collapsed="false">
      <c r="B8" s="12" t="s">
        <v>168</v>
      </c>
      <c r="C8" s="25" t="n">
        <v>2</v>
      </c>
    </row>
    <row r="9" customFormat="false" ht="15" hidden="false" customHeight="true" outlineLevel="0" collapsed="false">
      <c r="B9" s="12" t="s">
        <v>169</v>
      </c>
      <c r="C9" s="26" t="n">
        <v>0.1</v>
      </c>
    </row>
    <row r="10" customFormat="false" ht="15" hidden="false" customHeight="true" outlineLevel="0" collapsed="false">
      <c r="B10" s="12" t="s">
        <v>170</v>
      </c>
      <c r="C10" s="25" t="n">
        <v>1600</v>
      </c>
    </row>
    <row r="11" customFormat="false" ht="15" hidden="false" customHeight="true" outlineLevel="0" collapsed="false">
      <c r="B11" s="12" t="s">
        <v>171</v>
      </c>
      <c r="C11" s="26" t="n">
        <v>0.1</v>
      </c>
    </row>
    <row r="12" customFormat="false" ht="15" hidden="false" customHeight="true" outlineLevel="0" collapsed="false">
      <c r="B12" s="12" t="s">
        <v>172</v>
      </c>
      <c r="C12" s="25" t="n">
        <v>200</v>
      </c>
    </row>
    <row r="13" customFormat="false" ht="15" hidden="false" customHeight="true" outlineLevel="0" collapsed="false">
      <c r="B13" s="12" t="s">
        <v>173</v>
      </c>
      <c r="C13" s="26" t="n">
        <v>0.1</v>
      </c>
    </row>
    <row r="15" customFormat="false" ht="21.75" hidden="false" customHeight="true" outlineLevel="0" collapsed="false">
      <c r="A15" s="4" t="s">
        <v>136</v>
      </c>
      <c r="B15" s="4"/>
      <c r="C15" s="4"/>
      <c r="D15" s="4"/>
      <c r="E15" s="4"/>
    </row>
    <row r="16" customFormat="false" ht="25.5" hidden="false" customHeight="true" outlineLevel="0" collapsed="false">
      <c r="B16" s="9" t="s">
        <v>137</v>
      </c>
      <c r="C16" s="9" t="s">
        <v>138</v>
      </c>
      <c r="D16" s="9" t="s">
        <v>139</v>
      </c>
      <c r="E16" s="9" t="s">
        <v>140</v>
      </c>
    </row>
    <row r="17" customFormat="false" ht="34.5" hidden="false" customHeight="true" outlineLevel="0" collapsed="false">
      <c r="B17" s="12" t="s">
        <v>72</v>
      </c>
      <c r="C17" s="13" t="s">
        <v>174</v>
      </c>
      <c r="D17" s="8" t="n">
        <f aca="false">CEILING((CEILING(C5*12/C6,1)+1)*C8*(1+C9),1)</f>
        <v>47</v>
      </c>
      <c r="E17" s="8" t="n">
        <f aca="false">INDEX('Stock Lengths'!$B$6:$B$14,MATCH(TRUE(),'Stock Lengths'!$B$6:$B$14&gt;=(C7),0))</f>
        <v>16</v>
      </c>
    </row>
    <row r="18" customFormat="false" ht="23.25" hidden="false" customHeight="true" outlineLevel="0" collapsed="false">
      <c r="B18" s="12" t="s">
        <v>175</v>
      </c>
      <c r="C18" s="13" t="s">
        <v>176</v>
      </c>
      <c r="D18" s="8" t="n">
        <f aca="false">CEILING(C5*12/C6,1)+1</f>
        <v>21</v>
      </c>
      <c r="E18" s="8" t="s">
        <v>177</v>
      </c>
    </row>
    <row r="19" customFormat="false" ht="23.25" hidden="false" customHeight="true" outlineLevel="0" collapsed="false">
      <c r="B19" s="12" t="s">
        <v>178</v>
      </c>
      <c r="C19" s="13" t="s">
        <v>179</v>
      </c>
      <c r="D19" s="8" t="n">
        <f aca="false">CEILING(CEILING(C10/32,1)*(1+C11),1)</f>
        <v>55</v>
      </c>
      <c r="E19" s="8" t="s">
        <v>162</v>
      </c>
    </row>
    <row r="20" customFormat="false" ht="23.25" hidden="false" customHeight="true" outlineLevel="0" collapsed="false">
      <c r="B20" s="12" t="s">
        <v>180</v>
      </c>
      <c r="C20" s="13" t="s">
        <v>181</v>
      </c>
      <c r="D20" s="8" t="n">
        <f aca="false">CEILING(CEILING(C10/C12,1)*(1+C13),1)</f>
        <v>9</v>
      </c>
      <c r="E20" s="8" t="s">
        <v>162</v>
      </c>
    </row>
    <row r="22" customFormat="false" ht="15" hidden="false" customHeight="true" outlineLevel="0" collapsed="false">
      <c r="B22" s="28" t="s">
        <v>182</v>
      </c>
      <c r="C22" s="28"/>
      <c r="D22" s="28"/>
      <c r="E22" s="28"/>
    </row>
  </sheetData>
  <mergeCells count="5">
    <mergeCell ref="A1:E1"/>
    <mergeCell ref="A2:E2"/>
    <mergeCell ref="A4:E4"/>
    <mergeCell ref="A15:E15"/>
    <mergeCell ref="B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6"/>
    <col collapsed="false" customWidth="true" hidden="false" outlineLevel="0" max="4" min="4" style="1" width="20"/>
    <col collapsed="false" customWidth="true" hidden="false" outlineLevel="0" max="5" min="5" style="1" width="30"/>
  </cols>
  <sheetData>
    <row r="1" customFormat="false" ht="30" hidden="false" customHeight="true" outlineLevel="0" collapsed="false">
      <c r="A1" s="2" t="s">
        <v>33</v>
      </c>
      <c r="B1" s="2"/>
      <c r="C1" s="2"/>
      <c r="D1" s="2"/>
      <c r="E1" s="2"/>
    </row>
    <row r="2" customFormat="false" ht="18" hidden="false" customHeight="true" outlineLevel="0" collapsed="false">
      <c r="A2" s="3" t="s">
        <v>183</v>
      </c>
      <c r="B2" s="3"/>
      <c r="C2" s="3"/>
      <c r="D2" s="3"/>
      <c r="E2" s="3"/>
    </row>
    <row r="4" customFormat="false" ht="21.75" hidden="false" customHeight="true" outlineLevel="0" collapsed="false">
      <c r="A4" s="4" t="s">
        <v>128</v>
      </c>
      <c r="B4" s="4"/>
      <c r="C4" s="4"/>
      <c r="D4" s="4"/>
      <c r="E4" s="4"/>
    </row>
    <row r="5" customFormat="false" ht="15" hidden="false" customHeight="true" outlineLevel="0" collapsed="false">
      <c r="B5" s="12" t="s">
        <v>184</v>
      </c>
      <c r="C5" s="24" t="n">
        <v>6</v>
      </c>
    </row>
    <row r="6" customFormat="false" ht="15" hidden="false" customHeight="true" outlineLevel="0" collapsed="false">
      <c r="B6" s="12" t="s">
        <v>185</v>
      </c>
      <c r="C6" s="25" t="n">
        <v>2</v>
      </c>
    </row>
    <row r="7" customFormat="false" ht="15" hidden="false" customHeight="true" outlineLevel="0" collapsed="false">
      <c r="B7" s="12" t="s">
        <v>186</v>
      </c>
      <c r="C7" s="29" t="n">
        <v>0.25</v>
      </c>
    </row>
    <row r="8" customFormat="false" ht="15" hidden="false" customHeight="true" outlineLevel="0" collapsed="false">
      <c r="B8" s="12" t="s">
        <v>187</v>
      </c>
      <c r="C8" s="25" t="n">
        <v>16</v>
      </c>
    </row>
    <row r="9" customFormat="false" ht="15" hidden="false" customHeight="true" outlineLevel="0" collapsed="false">
      <c r="B9" s="12" t="s">
        <v>93</v>
      </c>
      <c r="C9" s="25" t="n">
        <v>2</v>
      </c>
    </row>
    <row r="10" customFormat="false" ht="15" hidden="false" customHeight="true" outlineLevel="0" collapsed="false">
      <c r="B10" s="12" t="s">
        <v>188</v>
      </c>
      <c r="C10" s="25" t="n">
        <v>2</v>
      </c>
    </row>
    <row r="11" customFormat="false" ht="15" hidden="false" customHeight="true" outlineLevel="0" collapsed="false">
      <c r="B11" s="12" t="s">
        <v>189</v>
      </c>
      <c r="C11" s="26" t="n">
        <v>0.1</v>
      </c>
    </row>
    <row r="13" customFormat="false" ht="21.75" hidden="false" customHeight="true" outlineLevel="0" collapsed="false">
      <c r="A13" s="4" t="s">
        <v>136</v>
      </c>
      <c r="B13" s="4"/>
      <c r="C13" s="4"/>
      <c r="D13" s="4"/>
      <c r="E13" s="4"/>
    </row>
    <row r="14" customFormat="false" ht="25.5" hidden="false" customHeight="true" outlineLevel="0" collapsed="false">
      <c r="B14" s="9" t="s">
        <v>137</v>
      </c>
      <c r="C14" s="9" t="s">
        <v>138</v>
      </c>
      <c r="D14" s="9" t="s">
        <v>139</v>
      </c>
      <c r="E14" s="9" t="s">
        <v>140</v>
      </c>
    </row>
    <row r="15" customFormat="false" ht="34.5" hidden="false" customHeight="true" outlineLevel="0" collapsed="false">
      <c r="B15" s="12" t="s">
        <v>89</v>
      </c>
      <c r="C15" s="13" t="s">
        <v>190</v>
      </c>
      <c r="D15" s="27" t="n">
        <f aca="false">C6</f>
        <v>2</v>
      </c>
      <c r="E15" s="8" t="n">
        <f aca="false">INDEX('Stock Lengths'!$B$6:$B$14,MATCH(TRUE(),'Stock Lengths'!$B$6:$B$14&gt;=(C5+C7),0))</f>
        <v>8</v>
      </c>
    </row>
    <row r="16" customFormat="false" ht="15" hidden="false" customHeight="true" outlineLevel="0" collapsed="false">
      <c r="B16" s="12" t="s">
        <v>93</v>
      </c>
      <c r="C16" s="13" t="s">
        <v>191</v>
      </c>
      <c r="D16" s="27" t="n">
        <f aca="false">C9</f>
        <v>2</v>
      </c>
      <c r="E16" s="8" t="s">
        <v>192</v>
      </c>
    </row>
    <row r="17" customFormat="false" ht="15" hidden="false" customHeight="true" outlineLevel="0" collapsed="false">
      <c r="B17" s="12" t="s">
        <v>97</v>
      </c>
      <c r="C17" s="13" t="s">
        <v>191</v>
      </c>
      <c r="D17" s="27" t="n">
        <f aca="false">C10</f>
        <v>2</v>
      </c>
      <c r="E17" s="8" t="s">
        <v>193</v>
      </c>
    </row>
    <row r="18" customFormat="false" ht="23.25" hidden="false" customHeight="true" outlineLevel="0" collapsed="false">
      <c r="B18" s="12" t="s">
        <v>101</v>
      </c>
      <c r="C18" s="13" t="s">
        <v>194</v>
      </c>
      <c r="D18" s="8" t="n">
        <f aca="false">CEILING(CEILING(C5*12/C8,1)*(1+C11),1)</f>
        <v>6</v>
      </c>
      <c r="E18" s="8" t="s">
        <v>195</v>
      </c>
    </row>
    <row r="20" customFormat="false" ht="15" hidden="false" customHeight="true" outlineLevel="0" collapsed="false">
      <c r="B20" s="14" t="s">
        <v>196</v>
      </c>
      <c r="C20" s="14"/>
      <c r="D20" s="14"/>
      <c r="E20" s="14"/>
    </row>
    <row r="21" customFormat="false" ht="15" hidden="false" customHeight="true" outlineLevel="0" collapsed="false">
      <c r="B21" s="14"/>
      <c r="C21" s="14"/>
      <c r="D21" s="14"/>
      <c r="E21" s="14"/>
    </row>
  </sheetData>
  <mergeCells count="5">
    <mergeCell ref="A1:E1"/>
    <mergeCell ref="A2:E2"/>
    <mergeCell ref="A4:E4"/>
    <mergeCell ref="A13:E13"/>
    <mergeCell ref="B20: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6"/>
    <col collapsed="false" customWidth="true" hidden="false" outlineLevel="0" max="4" min="4" style="1" width="20"/>
    <col collapsed="false" customWidth="true" hidden="false" outlineLevel="0" max="5" min="5" style="1" width="30"/>
  </cols>
  <sheetData>
    <row r="1" customFormat="false" ht="30" hidden="false" customHeight="true" outlineLevel="0" collapsed="false">
      <c r="A1" s="2" t="s">
        <v>35</v>
      </c>
      <c r="B1" s="2"/>
      <c r="C1" s="2"/>
      <c r="D1" s="2"/>
      <c r="E1" s="2"/>
    </row>
    <row r="2" customFormat="false" ht="18" hidden="false" customHeight="true" outlineLevel="0" collapsed="false">
      <c r="A2" s="3" t="s">
        <v>197</v>
      </c>
      <c r="B2" s="3"/>
      <c r="C2" s="3"/>
      <c r="D2" s="3"/>
      <c r="E2" s="3"/>
    </row>
    <row r="4" customFormat="false" ht="21.75" hidden="false" customHeight="true" outlineLevel="0" collapsed="false">
      <c r="A4" s="4" t="s">
        <v>128</v>
      </c>
      <c r="B4" s="4"/>
      <c r="C4" s="4"/>
      <c r="D4" s="4"/>
      <c r="E4" s="4"/>
    </row>
    <row r="5" customFormat="false" ht="15" hidden="false" customHeight="true" outlineLevel="0" collapsed="false">
      <c r="B5" s="12" t="s">
        <v>198</v>
      </c>
      <c r="C5" s="25" t="n">
        <v>2000</v>
      </c>
    </row>
    <row r="6" customFormat="false" ht="15" hidden="false" customHeight="true" outlineLevel="0" collapsed="false">
      <c r="B6" s="12" t="s">
        <v>199</v>
      </c>
      <c r="C6" s="25" t="n">
        <v>32</v>
      </c>
    </row>
    <row r="7" customFormat="false" ht="15" hidden="false" customHeight="true" outlineLevel="0" collapsed="false">
      <c r="B7" s="12" t="s">
        <v>171</v>
      </c>
      <c r="C7" s="26" t="n">
        <v>0.1</v>
      </c>
    </row>
    <row r="8" customFormat="false" ht="23.25" hidden="false" customHeight="true" outlineLevel="0" collapsed="false">
      <c r="B8" s="12" t="s">
        <v>200</v>
      </c>
      <c r="C8" s="25" t="n">
        <v>900</v>
      </c>
    </row>
    <row r="9" customFormat="false" ht="15" hidden="false" customHeight="true" outlineLevel="0" collapsed="false">
      <c r="B9" s="12" t="s">
        <v>201</v>
      </c>
      <c r="C9" s="26" t="n">
        <v>0</v>
      </c>
    </row>
    <row r="11" customFormat="false" ht="21.75" hidden="false" customHeight="true" outlineLevel="0" collapsed="false">
      <c r="A11" s="4" t="s">
        <v>136</v>
      </c>
      <c r="B11" s="4"/>
      <c r="C11" s="4"/>
      <c r="D11" s="4"/>
      <c r="E11" s="4"/>
    </row>
    <row r="12" customFormat="false" ht="25.5" hidden="false" customHeight="true" outlineLevel="0" collapsed="false">
      <c r="B12" s="9" t="s">
        <v>137</v>
      </c>
      <c r="C12" s="9" t="s">
        <v>138</v>
      </c>
      <c r="D12" s="9" t="s">
        <v>139</v>
      </c>
      <c r="E12" s="9" t="s">
        <v>202</v>
      </c>
    </row>
    <row r="13" customFormat="false" ht="23.25" hidden="false" customHeight="true" outlineLevel="0" collapsed="false">
      <c r="B13" s="12" t="s">
        <v>106</v>
      </c>
      <c r="C13" s="13" t="s">
        <v>203</v>
      </c>
      <c r="D13" s="8" t="n">
        <f aca="false">CEILING(CEILING(C5/C6,1)*(1+C7),1)</f>
        <v>70</v>
      </c>
      <c r="E13" s="8" t="s">
        <v>204</v>
      </c>
    </row>
    <row r="14" customFormat="false" ht="23.25" hidden="false" customHeight="true" outlineLevel="0" collapsed="false">
      <c r="B14" s="12" t="s">
        <v>110</v>
      </c>
      <c r="C14" s="13" t="s">
        <v>205</v>
      </c>
      <c r="D14" s="8" t="n">
        <f aca="false">CEILING(CEILING(C5/C8,1)*(1+C9),1)</f>
        <v>3</v>
      </c>
      <c r="E14" s="8" t="s">
        <v>206</v>
      </c>
    </row>
    <row r="16" customFormat="false" ht="15" hidden="false" customHeight="true" outlineLevel="0" collapsed="false">
      <c r="B16" s="14" t="s">
        <v>207</v>
      </c>
      <c r="C16" s="14"/>
      <c r="D16" s="14"/>
      <c r="E16" s="14"/>
    </row>
    <row r="17" customFormat="false" ht="15" hidden="false" customHeight="true" outlineLevel="0" collapsed="false">
      <c r="B17" s="14"/>
      <c r="C17" s="14"/>
      <c r="D17" s="14"/>
      <c r="E17" s="14"/>
    </row>
  </sheetData>
  <mergeCells count="5">
    <mergeCell ref="A1:E1"/>
    <mergeCell ref="A2:E2"/>
    <mergeCell ref="A4:E4"/>
    <mergeCell ref="A11:E11"/>
    <mergeCell ref="B16: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4" min="3" style="1" width="16"/>
  </cols>
  <sheetData>
    <row r="1" customFormat="false" ht="30" hidden="false" customHeight="true" outlineLevel="0" collapsed="false">
      <c r="A1" s="2" t="s">
        <v>37</v>
      </c>
      <c r="B1" s="2"/>
      <c r="C1" s="2"/>
      <c r="D1" s="2"/>
    </row>
    <row r="2" customFormat="false" ht="18" hidden="false" customHeight="true" outlineLevel="0" collapsed="false">
      <c r="A2" s="3" t="s">
        <v>208</v>
      </c>
      <c r="B2" s="3"/>
      <c r="C2" s="3"/>
      <c r="D2" s="3"/>
    </row>
    <row r="4" customFormat="false" ht="21.75" hidden="false" customHeight="true" outlineLevel="0" collapsed="false">
      <c r="A4" s="4" t="s">
        <v>209</v>
      </c>
      <c r="B4" s="4"/>
      <c r="C4" s="4"/>
      <c r="D4" s="4"/>
    </row>
    <row r="5" customFormat="false" ht="25.5" hidden="false" customHeight="true" outlineLevel="0" collapsed="false">
      <c r="B5" s="9" t="s">
        <v>210</v>
      </c>
    </row>
    <row r="6" customFormat="false" ht="15" hidden="false" customHeight="true" outlineLevel="0" collapsed="false">
      <c r="B6" s="30" t="n">
        <v>8</v>
      </c>
    </row>
    <row r="7" customFormat="false" ht="15" hidden="false" customHeight="true" outlineLevel="0" collapsed="false">
      <c r="B7" s="30" t="n">
        <v>10</v>
      </c>
    </row>
    <row r="8" customFormat="false" ht="15" hidden="false" customHeight="true" outlineLevel="0" collapsed="false">
      <c r="B8" s="30" t="n">
        <v>12</v>
      </c>
    </row>
    <row r="9" customFormat="false" ht="15" hidden="false" customHeight="true" outlineLevel="0" collapsed="false">
      <c r="B9" s="30" t="n">
        <v>14</v>
      </c>
    </row>
    <row r="10" customFormat="false" ht="15" hidden="false" customHeight="true" outlineLevel="0" collapsed="false">
      <c r="B10" s="30" t="n">
        <v>16</v>
      </c>
    </row>
    <row r="11" customFormat="false" ht="15" hidden="false" customHeight="true" outlineLevel="0" collapsed="false">
      <c r="B11" s="30" t="n">
        <v>18</v>
      </c>
    </row>
    <row r="12" customFormat="false" ht="15" hidden="false" customHeight="true" outlineLevel="0" collapsed="false">
      <c r="B12" s="30" t="n">
        <v>20</v>
      </c>
    </row>
    <row r="13" customFormat="false" ht="15" hidden="false" customHeight="true" outlineLevel="0" collapsed="false">
      <c r="B13" s="30" t="n">
        <v>22</v>
      </c>
    </row>
    <row r="14" customFormat="false" ht="15" hidden="false" customHeight="true" outlineLevel="0" collapsed="false">
      <c r="B14" s="30" t="n">
        <v>24</v>
      </c>
    </row>
    <row r="16" customFormat="false" ht="15" hidden="false" customHeight="true" outlineLevel="0" collapsed="false">
      <c r="B16" s="14" t="s">
        <v>211</v>
      </c>
      <c r="C16" s="14"/>
      <c r="D16" s="14"/>
    </row>
    <row r="17" customFormat="false" ht="15" hidden="false" customHeight="true" outlineLevel="0" collapsed="false">
      <c r="B17" s="14"/>
      <c r="C17" s="14"/>
      <c r="D17" s="14"/>
    </row>
  </sheetData>
  <mergeCells count="4">
    <mergeCell ref="A1:D1"/>
    <mergeCell ref="A2:D2"/>
    <mergeCell ref="A4:D4"/>
    <mergeCell ref="B16: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2026-07-04T17:15:15Z</dcterms:created>
  <dc:creator>openpyxl</dc:creator>
  <dc:description/>
  <dc:language>en-US</dc:language>
  <cp:lastModifiedBy/>
  <dcterms:modified xsi:type="dcterms:W3CDTF">2026-07-04T17:16:24Z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